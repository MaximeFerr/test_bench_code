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persons/person.xml" ContentType="application/vnd.ms-excel.person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tc={F514422F-8F03-AB06-CF55-14FA912AD841}</author>
    <author>tc={8033A06B-FB75-6FE9-C045-2450F1425632}</author>
    <author>tc={D492659A-708E-895C-F9E7-E62637E936B4}</author>
  </authors>
  <commentList>
    <comment ref="A4" authorId="0" xr:uid="{F514422F-8F03-AB06-CF55-14FA912AD841}">
      <text>
        <r>
          <rPr>
            <b/>
            <sz val="9"/>
            <rFont val="Tahoma"/>
          </rPr>
          <t>luiz-villa:</t>
        </r>
        <r>
          <rPr>
            <sz val="9"/>
            <rFont val="Tahoma"/>
          </rPr>
          <t xml:space="preserve">
Erreur de calcul dans le courant
</t>
        </r>
        <r>
          <rPr>
            <b/>
            <sz val="9"/>
            <rFont val="Tahoma"/>
          </rPr>
          <t>luiz-villa:</t>
        </r>
        <r>
          <rPr>
            <sz val="9"/>
            <rFont val="Tahoma"/>
          </rPr>
          <t xml:space="preserve">
ipk/2 = ipkpk = ipkpk/2 (max)
</t>
        </r>
        <r>
          <rPr>
            <b/>
            <sz val="9"/>
            <rFont val="Tahoma"/>
          </rPr>
          <t>luiz-villa:</t>
        </r>
        <r>
          <rPr>
            <sz val="9"/>
            <rFont val="Tahoma"/>
          </rPr>
          <t xml:space="preserve">
Reviser l'équation du base config
</t>
        </r>
        <r>
          <rPr>
            <b/>
            <sz val="9"/>
            <rFont val="Tahoma"/>
          </rPr>
          <t>luiz-villa:</t>
        </r>
        <r>
          <rPr>
            <sz val="9"/>
            <rFont val="Tahoma"/>
          </rPr>
          <t xml:space="preserve">
imin et imax dans base config
script du supervisor
generate json
opposition_generate_json (109)
</t>
        </r>
      </text>
    </comment>
    <comment ref="A6" authorId="1" xr:uid="{8033A06B-FB75-6FE9-C045-2450F1425632}">
      <text>
        <r>
          <rPr>
            <b/>
            <sz val="9"/>
            <rFont val="Tahoma"/>
          </rPr>
          <t>luiz-villa:</t>
        </r>
        <r>
          <rPr>
            <sz val="9"/>
            <rFont val="Tahoma"/>
          </rPr>
          <t xml:space="preserve">
Calculé lorsqu'on génère le fichier DC
</t>
        </r>
      </text>
    </comment>
    <comment ref="L8" authorId="2" xr:uid="{D492659A-708E-895C-F9E7-E62637E936B4}">
      <text>
        <r>
          <rPr>
            <b/>
            <sz val="9"/>
            <rFont val="Tahoma"/>
          </rPr>
          <t>luiz-villa:</t>
        </r>
        <r>
          <rPr>
            <sz val="9"/>
            <rFont val="Tahoma"/>
          </rPr>
          <t xml:space="preserve">
temps? bruit? duree de moyennage
</t>
        </r>
      </text>
    </comment>
  </commentList>
</comments>
</file>

<file path=xl/sharedStrings.xml><?xml version="1.0" encoding="utf-8"?>
<sst xmlns="http://schemas.openxmlformats.org/spreadsheetml/2006/main" count="69" uniqueCount="69">
  <si>
    <t xml:space="preserve">Plan de test </t>
  </si>
  <si>
    <t xml:space="preserve">Vcomm (V)</t>
  </si>
  <si>
    <t xml:space="preserve">Ipk (A)</t>
  </si>
  <si>
    <t xml:space="preserve">freq (kHz)</t>
  </si>
  <si>
    <t xml:space="preserve">dephasage (°)</t>
  </si>
  <si>
    <t>min</t>
  </si>
  <si>
    <t xml:space="preserve">max </t>
  </si>
  <si>
    <t xml:space="preserve">npoint I</t>
  </si>
  <si>
    <t xml:space="preserve">npoint V</t>
  </si>
  <si>
    <t>manuel</t>
  </si>
  <si>
    <t>simu</t>
  </si>
  <si>
    <t>auto</t>
  </si>
  <si>
    <t xml:space="preserve">f = 100kHz</t>
  </si>
  <si>
    <t xml:space="preserve">point V</t>
  </si>
  <si>
    <t xml:space="preserve">ipk simu</t>
  </si>
  <si>
    <t xml:space="preserve">ipk pratique</t>
  </si>
  <si>
    <t xml:space="preserve">point I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</si>
  <si>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</si>
  <si>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</si>
  <si>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</si>
  <si>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</si>
  <si>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</si>
  <si>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</si>
  <si>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</si>
  <si>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</si>
  <si>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</si>
  <si>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 xml:space="preserve">inductor offset current</t>
  </si>
  <si>
    <t xml:space="preserve">A réléver à la mano</t>
  </si>
  <si>
    <t>unit</t>
  </si>
  <si>
    <t>i</t>
  </si>
  <si>
    <t>R</t>
  </si>
  <si>
    <t>Ri²</t>
  </si>
  <si>
    <t>VDC</t>
  </si>
  <si>
    <t xml:space="preserve">tension de l'alim</t>
  </si>
  <si>
    <t>V</t>
  </si>
  <si>
    <t>iDC</t>
  </si>
  <si>
    <t xml:space="preserve">courant de l'alim</t>
  </si>
  <si>
    <t>mA</t>
  </si>
  <si>
    <t xml:space="preserve">spin operation </t>
  </si>
  <si>
    <t>3,4mA</t>
  </si>
  <si>
    <t>Ppertes</t>
  </si>
  <si>
    <t>pertes</t>
  </si>
  <si>
    <t>mW</t>
  </si>
  <si>
    <t>name</t>
  </si>
  <si>
    <t xml:space="preserve">nom du png de l'oscilloscipe</t>
  </si>
  <si>
    <t>nom</t>
  </si>
  <si>
    <t>a3*.png</t>
  </si>
  <si>
    <t>a6*.png</t>
  </si>
  <si>
    <t>a9*.png</t>
  </si>
  <si>
    <t>theta</t>
  </si>
  <si>
    <t xml:space="preserve">dephasage du point</t>
  </si>
  <si>
    <t>degrees</t>
  </si>
  <si>
    <t xml:space="preserve">delta i</t>
  </si>
  <si>
    <t xml:space="preserve">valeur peak-to-peak</t>
  </si>
  <si>
    <t>A</t>
  </si>
  <si>
    <t>Simulation</t>
  </si>
  <si>
    <t>100kHz</t>
  </si>
  <si>
    <t>automatique</t>
  </si>
  <si>
    <t>0.00694190134082</t>
  </si>
  <si>
    <t>0.0002</t>
  </si>
  <si>
    <t>0.0004</t>
  </si>
  <si>
    <t>0.0240766812333</t>
  </si>
  <si>
    <t>0.0665141342425</t>
  </si>
  <si>
    <t>a10</t>
  </si>
  <si>
    <t xml:space="preserve">manuel 2</t>
  </si>
  <si>
    <t xml:space="preserve">f = 50kHz</t>
  </si>
  <si>
    <t xml:space="preserve">50 kHz</t>
  </si>
  <si>
    <t>0.00719982900351</t>
  </si>
  <si>
    <t>0.0173360722038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</si>
</sst>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i/>
      <sz val="11.000000"/>
      <color theme="1"/>
      <name val="Calibri"/>
      <scheme val="minor"/>
    </font>
    <font>
      <sz val="8.000000"/>
      <color theme="1"/>
      <name val="Calibri"/>
      <scheme val="minor"/>
    </font>
    <font>
      <sz val="10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none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0" tint="-0.049989318521683403"/>
        <bgColor theme="0" tint="-0.049989318521683403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5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0" applyBorder="0"/>
    <xf fontId="3" fillId="4" borderId="0" numFmtId="0" applyNumberFormat="0" applyFont="1" applyFill="1" applyBorder="0"/>
    <xf fontId="4" fillId="5" borderId="0" numFmtId="0" applyNumberFormat="0" applyFont="1" applyFill="1" applyBorder="0"/>
  </cellStyleXfs>
  <cellXfs count="43">
    <xf fontId="0" fillId="0" borderId="0" numFmtId="0" xfId="0"/>
    <xf fontId="2" fillId="0" borderId="0" numFmtId="0" xfId="2" applyFont="1"/>
    <xf fontId="0" fillId="0" borderId="1" numFmtId="0" xfId="0" applyBorder="1"/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6" borderId="2" numFmtId="0" xfId="0" applyFill="1" applyBorder="1" applyAlignment="1">
      <alignment horizontal="center"/>
    </xf>
    <xf fontId="0" fillId="6" borderId="4" numFmtId="0" xfId="0" applyFill="1" applyBorder="1" applyAlignment="1">
      <alignment horizontal="center"/>
    </xf>
    <xf fontId="0" fillId="6" borderId="3" numFmtId="0" xfId="0" applyFill="1" applyBorder="1" applyAlignment="1">
      <alignment horizontal="center"/>
    </xf>
    <xf fontId="0" fillId="6" borderId="5" numFmtId="0" xfId="0" applyFill="1" applyBorder="1" applyAlignment="1">
      <alignment horizontal="center"/>
    </xf>
    <xf fontId="0" fillId="6" borderId="6" numFmtId="0" xfId="0" applyFill="1" applyBorder="1" applyAlignment="1">
      <alignment horizontal="center"/>
    </xf>
    <xf fontId="0" fillId="6" borderId="7" numFmtId="0" xfId="0" applyFill="1" applyBorder="1" applyAlignment="1">
      <alignment horizontal="center"/>
    </xf>
    <xf fontId="0" fillId="6" borderId="1" numFmtId="0" xfId="0" applyFill="1" applyBorder="1" applyAlignment="1">
      <alignment horizontal="center"/>
    </xf>
    <xf fontId="0" fillId="6" borderId="1" numFmtId="0" xfId="0" applyFill="1" applyBorder="1" applyAlignment="1">
      <alignment horizontal="center"/>
    </xf>
    <xf fontId="5" fillId="7" borderId="1" numFmtId="0" xfId="0" applyFont="1" applyFill="1" applyBorder="1" applyAlignment="1">
      <alignment horizontal="center"/>
    </xf>
    <xf fontId="0" fillId="0" borderId="1" numFmtId="0" xfId="0" applyBorder="1" applyAlignment="1">
      <alignment horizontal="center" textRotation="90" vertical="center"/>
    </xf>
    <xf fontId="3" fillId="4" borderId="1" numFmtId="0" xfId="3" applyFont="1" applyFill="1" applyBorder="1" applyAlignment="1">
      <alignment horizontal="center"/>
    </xf>
    <xf fontId="1" fillId="2" borderId="1" numFmtId="0" xfId="1" applyFont="1" applyFill="1" applyBorder="1" applyAlignment="1">
      <alignment horizontal="center"/>
    </xf>
    <xf fontId="3" fillId="4" borderId="0" numFmtId="0" xfId="3" applyFont="1" applyFill="1" applyAlignment="1">
      <alignment horizontal="center"/>
    </xf>
    <xf fontId="1" fillId="2" borderId="6" numFmtId="0" xfId="1" applyFont="1" applyFill="1" applyBorder="1" applyAlignment="1">
      <alignment horizontal="center"/>
    </xf>
    <xf fontId="0" fillId="6" borderId="0" numFmtId="0" xfId="0" applyFill="1"/>
    <xf fontId="0" fillId="0" borderId="0" numFmtId="0" xfId="0"/>
    <xf fontId="5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0" fillId="0" borderId="0" numFmtId="0" xfId="0">
      <protection hidden="0" locked="1"/>
    </xf>
    <xf fontId="4" fillId="5" borderId="0" numFmtId="0" xfId="4" applyFont="1" applyFill="1" applyAlignment="1">
      <alignment horizontal="center"/>
    </xf>
    <xf fontId="0" fillId="0" borderId="0" numFmtId="0" xfId="0"/>
    <xf fontId="0" fillId="0" borderId="0" numFmtId="164" xfId="0" applyNumberFormat="1" applyAlignment="1">
      <alignment horizontal="center"/>
    </xf>
    <xf fontId="0" fillId="0" borderId="0" numFmtId="164" xfId="0" applyNumberFormat="1" applyAlignment="1">
      <alignment horizontal="center"/>
      <protection hidden="0" locked="1"/>
    </xf>
    <xf fontId="0" fillId="0" borderId="0" numFmtId="164" xfId="0" applyNumberFormat="1" applyAlignment="1">
      <alignment horizontal="center"/>
      <protection hidden="0" locked="1"/>
    </xf>
    <xf fontId="0" fillId="6" borderId="0" numFmtId="0" xfId="0" applyFill="1"/>
    <xf fontId="1" fillId="2" borderId="0" numFmtId="0" xfId="1" applyFont="1" applyFill="1" applyAlignment="1">
      <alignment horizontal="center"/>
    </xf>
    <xf fontId="0" fillId="0" borderId="0" numFmtId="0" xfId="0">
      <protection hidden="0" locked="1"/>
    </xf>
    <xf fontId="6" fillId="0" borderId="0" numFmtId="0" xfId="0" applyFont="1"/>
    <xf fontId="6" fillId="6" borderId="0" numFmtId="0" xfId="0" applyFont="1" applyFill="1"/>
    <xf fontId="0" fillId="0" borderId="8" numFmtId="0" xfId="0" applyBorder="1"/>
    <xf fontId="0" fillId="0" borderId="8" numFmtId="0" xfId="0" applyBorder="1">
      <protection hidden="0" locked="1"/>
    </xf>
    <xf fontId="0" fillId="0" borderId="8" numFmtId="0" xfId="0" applyBorder="1">
      <protection hidden="0" locked="1"/>
    </xf>
    <xf fontId="4" fillId="5" borderId="0" numFmtId="2" xfId="4" applyNumberFormat="1" applyFont="1" applyFill="1" applyAlignment="1">
      <alignment horizontal="center"/>
    </xf>
    <xf fontId="7" fillId="0" borderId="0" numFmtId="0" xfId="0" applyFont="1" applyAlignment="1">
      <alignment horizontal="center"/>
    </xf>
    <xf fontId="3" fillId="4" borderId="6" numFmtId="0" xfId="3" applyFont="1" applyFill="1" applyBorder="1" applyAlignment="1">
      <alignment horizontal="center"/>
    </xf>
    <xf fontId="0" fillId="0" borderId="0" numFmtId="2" xfId="0" applyNumberFormat="1" applyAlignment="1">
      <alignment horizontal="center"/>
      <protection hidden="0" locked="1"/>
    </xf>
    <xf fontId="0" fillId="0" borderId="0" numFmtId="2" xfId="0" applyNumberFormat="1" applyAlignment="1">
      <alignment horizontal="center"/>
    </xf>
    <xf fontId="0" fillId="0" borderId="0" numFmtId="2" xfId="0" applyNumberFormat="1">
      <protection hidden="0" locked="1"/>
    </xf>
  </cellXfs>
  <cellStyles count="5">
    <cellStyle name="Normal" xfId="0" builtinId="0"/>
    <cellStyle name="Neutral" xfId="1" builtinId="28"/>
    <cellStyle name="Explanatory Text" xfId="2" builtinId="53"/>
    <cellStyle name="Good" xfId="3" builtinId="26"/>
    <cellStyle name="Bad" xfId="4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val>
            <c:numRef>
              <c:f>Sheet1!$H$18:$P$18</c:f>
            </c:numRef>
          </c:val>
          <c:smooth val="0"/>
        </c:ser>
        <c:ser>
          <c:idx val="1"/>
          <c:order val="1"/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val>
            <c:numRef>
              <c:f>Sheet1!$H$42:$P$42</c:f>
            </c:numRef>
          </c:val>
          <c:smooth val="0"/>
        </c:ser>
        <c:marker val="0"/>
        <c:smooth val="0"/>
        <c:axId val="511721981"/>
        <c:axId val="511721982"/>
      </c:lineChart>
      <c:catAx>
        <c:axId val="511721981"/>
        <c:scaling>
          <c:orientation val="minMax"/>
        </c:scaling>
        <c:delete val="0"/>
        <c:axPos val="b"/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511721982"/>
        <c:crosses val="autoZero"/>
        <c:auto val="1"/>
        <c:lblAlgn val="ctr"/>
        <c:lblOffset val="100"/>
        <c:noMultiLvlLbl val="0"/>
      </c:catAx>
      <c:valAx>
        <c:axId val="51172198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51172198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10652124" y="2706687"/>
      <a:ext cx="3794124" cy="227012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16</xdr:col>
      <xdr:colOff>539749</xdr:colOff>
      <xdr:row>14</xdr:row>
      <xdr:rowOff>150812</xdr:rowOff>
    </xdr:from>
    <xdr:to>
      <xdr:col>23</xdr:col>
      <xdr:colOff>55562</xdr:colOff>
      <xdr:row>27</xdr:row>
      <xdr:rowOff>47624</xdr:rowOff>
    </xdr:to>
    <xdr:graphicFrame>
      <xdr:nvGraphicFramePr>
        <xdr:cNvPr id="1661616752" name=""/>
        <xdr:cNvGraphicFramePr>
          <a:graphicFrameLocks xmlns:a="http://schemas.openxmlformats.org/drawingml/2006/main"/>
        </xdr:cNvGraphicFramePr>
      </xdr:nvGraphicFramePr>
      <xdr:xfrm>
        <a:off x="10652124" y="2706687"/>
        <a:ext cx="3794124" cy="22701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iz-villa" id="{7B0AB329-F9CA-F32E-90F8-E9287283053F}" userId="luiz-villa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02-03T08:50:51.21Z" personId="{7B0AB329-F9CA-F32E-90F8-E9287283053F}" id="{F514422F-8F03-AB06-CF55-14FA912AD841}" done="0">
    <text xml:space="preserve">Erreur de calcul dans le courant
</text>
  </threadedComment>
  <threadedComment ref="A4" dT="2026-02-03T08:51:35.60Z" personId="{7B0AB329-F9CA-F32E-90F8-E9287283053F}" id="{45C1AF57-2458-CD17-7CC5-AE65C9F6B25A}" parentId="{F514422F-8F03-AB06-CF55-14FA912AD841}" done="0">
    <text xml:space="preserve">ipk/2 = ipkpk = ipkpk/2 (max)
</text>
  </threadedComment>
  <threadedComment ref="A4" dT="2026-02-03T09:04:48.15Z" personId="{7B0AB329-F9CA-F32E-90F8-E9287283053F}" id="{9F631241-A7FA-FD41-81B5-79D1057D536A}" parentId="{F514422F-8F03-AB06-CF55-14FA912AD841}" done="0">
    <text xml:space="preserve">Reviser l'équation du base config
</text>
  </threadedComment>
  <threadedComment ref="A4" dT="2026-02-03T09:06:37.84Z" personId="{7B0AB329-F9CA-F32E-90F8-E9287283053F}" id="{E0DC20BE-4D6B-771C-BFDC-DB5AB06A25D9}" parentId="{F514422F-8F03-AB06-CF55-14FA912AD841}" done="0">
    <text xml:space="preserve">imin et imax dans base config
script du supervisor
generate json
opposition_generate_json (109)
</text>
  </threadedComment>
  <threadedComment ref="A6" dT="2026-02-03T08:53:50.09Z" personId="{7B0AB329-F9CA-F32E-90F8-E9287283053F}" id="{8033A06B-FB75-6FE9-C045-2450F1425632}" done="0">
    <text xml:space="preserve">Calculé lorsqu'on génère le fichier DC
</text>
  </threadedComment>
  <threadedComment ref="L8" dT="2026-02-03T13:07:25.93Z" personId="{7B0AB329-F9CA-F32E-90F8-E9287283053F}" id="{D492659A-708E-895C-F9E7-E62637E936B4}" done="0">
    <text xml:space="preserve">temps? bruit? duree de moyennage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7" zoomScale="100" workbookViewId="0">
      <selection activeCell="A1" activeCellId="0" sqref="A1"/>
    </sheetView>
  </sheetViews>
  <sheetFormatPr defaultRowHeight="14.25"/>
  <cols>
    <col bestFit="1" min="1" max="1" width="12.390625"/>
    <col bestFit="1" min="3" max="3" width="10.9609375"/>
  </cols>
  <sheetData>
    <row r="2" ht="14.25">
      <c r="B2" t="s">
        <v>0</v>
      </c>
    </row>
    <row r="3" ht="14.25">
      <c r="A3" t="s">
        <v>1</v>
      </c>
      <c r="B3">
        <v>40</v>
      </c>
      <c r="C3">
        <v>60</v>
      </c>
    </row>
    <row r="4" ht="14.25">
      <c r="A4" s="1" t="s">
        <v>2</v>
      </c>
      <c r="B4">
        <v>1</v>
      </c>
      <c r="C4">
        <v>8</v>
      </c>
    </row>
    <row r="5" ht="14.25">
      <c r="A5" t="s">
        <v>3</v>
      </c>
      <c r="B5">
        <v>80</v>
      </c>
      <c r="C5">
        <v>100</v>
      </c>
      <c r="D5">
        <v>125</v>
      </c>
    </row>
    <row r="6" ht="14.25">
      <c r="A6" t="s">
        <v>4</v>
      </c>
      <c r="B6" t="s">
        <v>5</v>
      </c>
      <c r="C6" t="s">
        <v>6</v>
      </c>
    </row>
    <row r="7" ht="14.25">
      <c r="A7" t="s">
        <v>7</v>
      </c>
      <c r="B7">
        <v>6</v>
      </c>
    </row>
    <row r="8" ht="14.25">
      <c r="A8" t="s">
        <v>8</v>
      </c>
      <c r="B8">
        <v>2</v>
      </c>
      <c r="D8" t="s">
        <v>9</v>
      </c>
      <c r="H8" t="s">
        <v>10</v>
      </c>
      <c r="L8" t="s">
        <v>11</v>
      </c>
    </row>
    <row r="9" ht="14.25">
      <c r="A9" s="2"/>
      <c r="B9" s="3" t="s">
        <v>12</v>
      </c>
      <c r="C9" s="4"/>
      <c r="D9" s="5" t="s">
        <v>13</v>
      </c>
      <c r="E9" s="6"/>
      <c r="F9" s="7"/>
      <c r="H9" s="8" t="s">
        <v>13</v>
      </c>
      <c r="I9" s="9"/>
      <c r="J9" s="10"/>
      <c r="L9" s="8" t="s">
        <v>13</v>
      </c>
      <c r="M9" s="9"/>
      <c r="N9" s="10"/>
    </row>
    <row r="10" ht="14.25">
      <c r="A10" s="2"/>
      <c r="B10" s="11" t="s">
        <v>14</v>
      </c>
      <c r="C10" s="12" t="s">
        <v>15</v>
      </c>
      <c r="D10" s="13">
        <v>40</v>
      </c>
      <c r="E10" s="13">
        <v>50</v>
      </c>
      <c r="F10" s="13">
        <v>60</v>
      </c>
      <c r="H10" s="13">
        <v>40</v>
      </c>
      <c r="I10" s="13">
        <v>50</v>
      </c>
      <c r="J10" s="13">
        <v>60</v>
      </c>
      <c r="L10" s="13">
        <v>40</v>
      </c>
      <c r="M10" s="13">
        <v>50</v>
      </c>
      <c r="N10" s="13">
        <v>60</v>
      </c>
    </row>
    <row r="11" ht="14.25">
      <c r="A11" s="14" t="s">
        <v>16</v>
      </c>
      <c r="B11" s="13">
        <v>0.5</v>
      </c>
      <c r="C11" s="13">
        <v>2</v>
      </c>
      <c r="D11" s="15" t="s">
        <v>17</v>
      </c>
      <c r="E11" s="15" t="s">
        <v>18</v>
      </c>
      <c r="F11" s="15" t="s">
        <v>19</v>
      </c>
      <c r="H11" s="16" t="s">
        <v>17</v>
      </c>
      <c r="I11" s="16" t="s">
        <v>18</v>
      </c>
      <c r="J11" s="16" t="s">
        <v>19</v>
      </c>
      <c r="L11" s="15" t="s">
        <v>17</v>
      </c>
      <c r="M11" s="15" t="s">
        <v>18</v>
      </c>
      <c r="N11" s="15" t="s">
        <v>19</v>
      </c>
    </row>
    <row r="12" ht="14.25">
      <c r="A12" s="14"/>
      <c r="B12" s="13">
        <v>1</v>
      </c>
      <c r="C12" s="13">
        <v>4</v>
      </c>
      <c r="D12" s="17" t="s">
        <v>20</v>
      </c>
      <c r="E12" s="17" t="s">
        <v>21</v>
      </c>
      <c r="F12" s="17" t="s">
        <v>22</v>
      </c>
      <c r="H12" s="18" t="s">
        <v>20</v>
      </c>
      <c r="I12" s="18" t="s">
        <v>21</v>
      </c>
      <c r="J12" s="18" t="s">
        <v>22</v>
      </c>
      <c r="K12">
        <v>1.25</v>
      </c>
      <c r="L12" s="18" t="s">
        <v>20</v>
      </c>
      <c r="M12" s="18" t="s">
        <v>21</v>
      </c>
      <c r="N12" s="18" t="s">
        <v>22</v>
      </c>
    </row>
    <row r="13" ht="14.25">
      <c r="A13" s="14"/>
      <c r="B13" s="13">
        <v>2</v>
      </c>
      <c r="C13" s="13">
        <v>8</v>
      </c>
      <c r="D13" s="15" t="s">
        <v>23</v>
      </c>
      <c r="E13" s="15" t="s">
        <v>24</v>
      </c>
      <c r="F13" s="15" t="s">
        <v>25</v>
      </c>
      <c r="H13" s="16" t="s">
        <v>23</v>
      </c>
      <c r="I13" s="16" t="s">
        <v>24</v>
      </c>
      <c r="J13" s="15" t="s">
        <v>25</v>
      </c>
      <c r="L13" s="15" t="s">
        <v>23</v>
      </c>
      <c r="M13" s="15" t="s">
        <v>24</v>
      </c>
      <c r="N13" s="15" t="s">
        <v>25</v>
      </c>
    </row>
    <row r="14" ht="14.25">
      <c r="Q14" t="s">
        <v>26</v>
      </c>
    </row>
    <row r="15" ht="14.25">
      <c r="D15" s="19" t="s">
        <v>27</v>
      </c>
      <c r="E15" s="19"/>
      <c r="F15" s="19"/>
      <c r="G15" s="19" t="s">
        <v>28</v>
      </c>
      <c r="H15" s="17" t="s">
        <v>17</v>
      </c>
      <c r="I15" s="17" t="s">
        <v>18</v>
      </c>
      <c r="J15" s="17" t="s">
        <v>19</v>
      </c>
      <c r="K15" s="17" t="s">
        <v>20</v>
      </c>
      <c r="L15" s="17" t="s">
        <v>21</v>
      </c>
      <c r="M15" s="17" t="s">
        <v>22</v>
      </c>
      <c r="N15" s="17" t="s">
        <v>23</v>
      </c>
      <c r="O15" s="17" t="s">
        <v>24</v>
      </c>
      <c r="P15" s="17" t="s">
        <v>25</v>
      </c>
      <c r="Q15" s="20" t="s">
        <v>29</v>
      </c>
      <c r="R15" s="20" t="s">
        <v>29</v>
      </c>
      <c r="S15" t="s">
        <v>30</v>
      </c>
      <c r="T15" t="s">
        <v>31</v>
      </c>
    </row>
    <row r="16" ht="14.25">
      <c r="D16" s="19" t="s">
        <v>32</v>
      </c>
      <c r="E16" t="s">
        <v>33</v>
      </c>
      <c r="G16" s="21" t="s">
        <v>34</v>
      </c>
      <c r="H16" s="22">
        <v>39.946100000000001</v>
      </c>
      <c r="I16" s="22">
        <v>49.947400000000002</v>
      </c>
      <c r="J16" s="22">
        <v>59.950699999999998</v>
      </c>
      <c r="K16" s="22">
        <v>39.988599999999998</v>
      </c>
      <c r="L16" s="22">
        <v>49.968899999999998</v>
      </c>
      <c r="M16" s="22">
        <v>59.996000000000002</v>
      </c>
      <c r="N16" s="22">
        <v>39.923000000000002</v>
      </c>
      <c r="O16" s="22">
        <v>49.947400000000002</v>
      </c>
      <c r="P16" s="22">
        <v>59.850000000000001</v>
      </c>
      <c r="Q16">
        <f>232/1000</f>
        <v>0.23200000000000001</v>
      </c>
      <c r="R16" s="23">
        <f>232/1000</f>
        <v>0.23200000000000001</v>
      </c>
      <c r="S16">
        <v>0.41999999999999998</v>
      </c>
      <c r="T16">
        <f>Q16*R16*S16</f>
        <v>0.022606080000000001</v>
      </c>
    </row>
    <row r="17" ht="14.25">
      <c r="D17" s="19" t="s">
        <v>35</v>
      </c>
      <c r="E17" t="s">
        <v>36</v>
      </c>
      <c r="G17" s="21" t="s">
        <v>37</v>
      </c>
      <c r="H17" s="22">
        <v>6.9400000000000004</v>
      </c>
      <c r="I17" s="22">
        <v>5.9000000000000004</v>
      </c>
      <c r="J17" s="22">
        <v>5.0700000000000003</v>
      </c>
      <c r="K17" s="22">
        <v>22.260000000000002</v>
      </c>
      <c r="L17" s="22">
        <v>19.399999999999999</v>
      </c>
      <c r="M17" s="22">
        <v>16.859999999999999</v>
      </c>
      <c r="N17" s="22">
        <v>62.25</v>
      </c>
      <c r="O17" s="22">
        <v>58.560000000000002</v>
      </c>
      <c r="P17" s="24">
        <v>54.200000000000003</v>
      </c>
      <c r="Q17" t="s">
        <v>38</v>
      </c>
      <c r="S17" t="s">
        <v>39</v>
      </c>
    </row>
    <row r="18" ht="14.25">
      <c r="D18" s="19" t="s">
        <v>40</v>
      </c>
      <c r="E18" s="25" t="s">
        <v>41</v>
      </c>
      <c r="G18" s="21" t="s">
        <v>42</v>
      </c>
      <c r="H18" s="26">
        <f>H16*H17</f>
        <v>277.22593400000005</v>
      </c>
      <c r="I18" s="27">
        <f>I16*I17</f>
        <v>294.68966</v>
      </c>
      <c r="J18" s="28">
        <f>J16*J17</f>
        <v>303.95004899999998</v>
      </c>
      <c r="K18" s="27">
        <f>K16*K17</f>
        <v>890.14623600000004</v>
      </c>
      <c r="L18" s="27">
        <f>L16*L17</f>
        <v>969.39665999999988</v>
      </c>
      <c r="M18" s="28">
        <f>M16*M17</f>
        <v>1011.53256</v>
      </c>
      <c r="N18" s="27">
        <f>N16*N17</f>
        <v>2485.2067500000003</v>
      </c>
      <c r="O18" s="27">
        <f>O16*O17</f>
        <v>2924.9197440000003</v>
      </c>
      <c r="P18" s="28">
        <f>P16*P17</f>
        <v>3243.8700000000003</v>
      </c>
    </row>
    <row r="19" ht="14.25">
      <c r="D19" s="19" t="s">
        <v>43</v>
      </c>
      <c r="E19" t="s">
        <v>44</v>
      </c>
      <c r="G19" s="21" t="s">
        <v>45</v>
      </c>
      <c r="H19" s="22"/>
      <c r="I19" s="22"/>
      <c r="J19" s="22" t="s">
        <v>46</v>
      </c>
      <c r="K19" s="22"/>
      <c r="L19" s="22"/>
      <c r="M19" s="22" t="s">
        <v>47</v>
      </c>
      <c r="N19" s="22"/>
      <c r="O19" s="22"/>
      <c r="P19" s="22" t="s">
        <v>48</v>
      </c>
    </row>
    <row r="20" ht="14.25">
      <c r="D20" s="19" t="s">
        <v>49</v>
      </c>
      <c r="E20" t="s">
        <v>50</v>
      </c>
      <c r="G20" s="21" t="s">
        <v>51</v>
      </c>
      <c r="H20" s="22">
        <v>36</v>
      </c>
      <c r="I20" s="22">
        <v>29</v>
      </c>
      <c r="J20" s="22">
        <v>24</v>
      </c>
      <c r="K20" s="22">
        <v>72</v>
      </c>
      <c r="L20" s="22">
        <v>58</v>
      </c>
      <c r="M20" s="22">
        <v>48</v>
      </c>
      <c r="N20" s="22">
        <v>144</v>
      </c>
      <c r="O20" s="22">
        <v>115</v>
      </c>
      <c r="P20" s="22">
        <v>96</v>
      </c>
    </row>
    <row r="21" ht="14.25">
      <c r="D21" s="29" t="s">
        <v>52</v>
      </c>
      <c r="E21" t="s">
        <v>53</v>
      </c>
      <c r="G21" s="21" t="s">
        <v>54</v>
      </c>
      <c r="H21" s="22">
        <v>1.0329999999999999</v>
      </c>
      <c r="I21" s="22">
        <v>1.0329999999999999</v>
      </c>
      <c r="J21" s="22">
        <v>1.0329999999999999</v>
      </c>
      <c r="K21" s="22">
        <v>2.0670000000000002</v>
      </c>
      <c r="L21" s="22">
        <v>2.0670000000000002</v>
      </c>
      <c r="M21" s="22">
        <v>2.0670000000000002</v>
      </c>
      <c r="N21" s="22">
        <v>4.133</v>
      </c>
      <c r="O21" s="22">
        <v>4.133</v>
      </c>
      <c r="P21" s="22">
        <v>4.133</v>
      </c>
    </row>
    <row r="23" ht="14.25">
      <c r="D23" s="29" t="s">
        <v>55</v>
      </c>
      <c r="E23" s="29" t="s">
        <v>56</v>
      </c>
      <c r="F23" s="19"/>
      <c r="G23" s="19" t="s">
        <v>28</v>
      </c>
      <c r="H23" s="30" t="s">
        <v>17</v>
      </c>
      <c r="I23" s="30" t="s">
        <v>18</v>
      </c>
      <c r="J23" s="17" t="s">
        <v>19</v>
      </c>
      <c r="K23" s="30" t="s">
        <v>20</v>
      </c>
      <c r="L23" s="30" t="s">
        <v>21</v>
      </c>
      <c r="M23" s="17" t="s">
        <v>22</v>
      </c>
      <c r="N23" s="30" t="s">
        <v>23</v>
      </c>
      <c r="O23" s="30" t="s">
        <v>24</v>
      </c>
      <c r="P23" s="17" t="s">
        <v>25</v>
      </c>
    </row>
    <row r="24" ht="14.25">
      <c r="D24" s="19" t="s">
        <v>32</v>
      </c>
      <c r="E24" t="s">
        <v>33</v>
      </c>
      <c r="F24" s="23"/>
      <c r="G24" s="21" t="s">
        <v>34</v>
      </c>
      <c r="H24" s="22">
        <v>40</v>
      </c>
      <c r="I24" s="22">
        <v>50</v>
      </c>
      <c r="J24" s="22">
        <v>60</v>
      </c>
      <c r="K24" s="22">
        <v>40</v>
      </c>
      <c r="L24" s="22">
        <v>50</v>
      </c>
      <c r="M24" s="22">
        <v>60</v>
      </c>
      <c r="N24" s="22">
        <v>40</v>
      </c>
      <c r="O24" s="22">
        <v>50</v>
      </c>
      <c r="P24" s="22">
        <v>60</v>
      </c>
    </row>
    <row r="25" ht="14.25">
      <c r="D25" s="19" t="s">
        <v>35</v>
      </c>
      <c r="E25" t="s">
        <v>36</v>
      </c>
      <c r="F25" s="23"/>
      <c r="G25" s="21" t="s">
        <v>37</v>
      </c>
      <c r="H25" s="31">
        <v>6.9419013408200003</v>
      </c>
      <c r="I25" s="22"/>
      <c r="J25" s="24">
        <v>1.3600000000000001</v>
      </c>
      <c r="K25" s="31">
        <v>24.0766812333</v>
      </c>
      <c r="L25" s="22"/>
      <c r="M25" s="24">
        <v>4.75</v>
      </c>
      <c r="N25" s="31">
        <v>66.514134242500006</v>
      </c>
      <c r="O25" s="22"/>
      <c r="P25" s="24">
        <v>14.5</v>
      </c>
      <c r="Q25" s="22"/>
    </row>
    <row r="26" ht="14.25">
      <c r="D26" s="19" t="s">
        <v>40</v>
      </c>
      <c r="E26" t="s">
        <v>41</v>
      </c>
      <c r="F26" s="23"/>
      <c r="G26" s="21" t="s">
        <v>42</v>
      </c>
      <c r="H26" s="26">
        <f>H24*H25</f>
        <v>277.67605363280001</v>
      </c>
      <c r="I26" s="27">
        <f>I24*I25</f>
        <v>0</v>
      </c>
      <c r="J26" s="27">
        <f>J24*J25</f>
        <v>81.600000000000009</v>
      </c>
      <c r="K26" s="27">
        <f>K24*K25</f>
        <v>963.06724933200007</v>
      </c>
      <c r="L26" s="27">
        <f>L24*L25</f>
        <v>0</v>
      </c>
      <c r="M26" s="27">
        <f>M24*M25</f>
        <v>285</v>
      </c>
      <c r="N26" s="27">
        <f>N24*N25</f>
        <v>2660.5653697000002</v>
      </c>
      <c r="O26" s="27">
        <f>O24*O25</f>
        <v>0</v>
      </c>
      <c r="P26" s="27">
        <f>P24*P25</f>
        <v>870</v>
      </c>
    </row>
    <row r="27" ht="14.25">
      <c r="D27" s="19" t="s">
        <v>43</v>
      </c>
      <c r="E27" t="s">
        <v>44</v>
      </c>
      <c r="F27" s="23"/>
      <c r="G27" s="21" t="s">
        <v>45</v>
      </c>
      <c r="H27" s="22"/>
      <c r="I27" s="22"/>
      <c r="J27" s="22"/>
      <c r="K27" s="22"/>
      <c r="L27" s="22"/>
      <c r="M27" s="22"/>
      <c r="N27" s="22"/>
      <c r="O27" s="22"/>
      <c r="P27" s="22"/>
    </row>
    <row r="28" ht="14.25">
      <c r="D28" s="19" t="s">
        <v>49</v>
      </c>
      <c r="E28" t="s">
        <v>50</v>
      </c>
      <c r="F28" s="23"/>
      <c r="G28" s="21" t="s">
        <v>51</v>
      </c>
      <c r="H28" s="22">
        <v>36</v>
      </c>
      <c r="I28" s="22">
        <v>29</v>
      </c>
      <c r="J28" s="22">
        <v>24</v>
      </c>
      <c r="K28" s="22">
        <v>72</v>
      </c>
      <c r="L28" s="22">
        <v>58</v>
      </c>
      <c r="M28" s="22">
        <v>48</v>
      </c>
      <c r="N28" s="22">
        <v>144</v>
      </c>
      <c r="O28" s="22">
        <v>115</v>
      </c>
      <c r="P28" s="22">
        <v>96</v>
      </c>
    </row>
    <row r="29" ht="14.25">
      <c r="D29" s="19" t="s">
        <v>52</v>
      </c>
      <c r="E29" t="s">
        <v>53</v>
      </c>
      <c r="F29" s="23"/>
      <c r="G29" s="21" t="s">
        <v>54</v>
      </c>
      <c r="H29" s="22"/>
      <c r="I29" s="22"/>
      <c r="J29" s="22">
        <v>1</v>
      </c>
      <c r="K29" s="22"/>
      <c r="L29" s="22"/>
      <c r="M29" s="22">
        <v>2</v>
      </c>
      <c r="N29" s="22"/>
      <c r="O29" s="22"/>
      <c r="P29" s="22">
        <v>4.0049999999999999</v>
      </c>
    </row>
    <row r="30" ht="14.25">
      <c r="C30" s="32"/>
      <c r="H30" s="23">
        <f>H17/H25</f>
        <v>0.99972610662026851</v>
      </c>
      <c r="I30" s="23" t="e">
        <f>I17/I25</f>
        <v>#DIV/0!</v>
      </c>
      <c r="J30">
        <f>J17/J25</f>
        <v>3.7279411764705883</v>
      </c>
      <c r="K30" s="23">
        <f>K17/K25</f>
        <v>0.92454602793065266</v>
      </c>
      <c r="L30" s="23" t="e">
        <f>L17/L25</f>
        <v>#DIV/0!</v>
      </c>
      <c r="M30" s="23">
        <f>M17/M25</f>
        <v>3.5494736842105263</v>
      </c>
      <c r="N30" s="23">
        <f>N17/N25</f>
        <v>0.93589130654615982</v>
      </c>
      <c r="O30" s="23" t="e">
        <f>O17/O25</f>
        <v>#DIV/0!</v>
      </c>
      <c r="P30" s="23">
        <f>P17/P25</f>
        <v>3.737931034482759</v>
      </c>
    </row>
    <row r="31" ht="14.25">
      <c r="D31" s="29" t="s">
        <v>57</v>
      </c>
      <c r="E31" s="19"/>
      <c r="F31" s="19"/>
      <c r="G31" s="33" t="s">
        <v>28</v>
      </c>
      <c r="H31" s="30" t="s">
        <v>17</v>
      </c>
      <c r="I31" s="30" t="s">
        <v>18</v>
      </c>
      <c r="J31" s="17" t="s">
        <v>19</v>
      </c>
      <c r="K31" s="30" t="s">
        <v>20</v>
      </c>
      <c r="L31" s="30" t="s">
        <v>21</v>
      </c>
      <c r="M31" s="17" t="s">
        <v>22</v>
      </c>
      <c r="N31" s="30" t="s">
        <v>23</v>
      </c>
      <c r="O31" s="30" t="s">
        <v>24</v>
      </c>
      <c r="P31" s="17" t="s">
        <v>25</v>
      </c>
      <c r="T31">
        <v>1</v>
      </c>
      <c r="U31" t="s">
        <v>58</v>
      </c>
      <c r="V31" t="s">
        <v>59</v>
      </c>
      <c r="W31" t="s">
        <v>60</v>
      </c>
    </row>
    <row r="32" ht="14.25">
      <c r="D32" s="19" t="s">
        <v>32</v>
      </c>
      <c r="E32" t="s">
        <v>33</v>
      </c>
      <c r="F32" s="23"/>
      <c r="G32" s="21" t="s">
        <v>34</v>
      </c>
      <c r="H32" s="22"/>
      <c r="I32" s="22"/>
      <c r="J32" s="22"/>
      <c r="K32" s="22"/>
      <c r="L32" s="22"/>
      <c r="M32" s="22"/>
      <c r="N32" s="22"/>
      <c r="O32" s="22"/>
      <c r="P32" s="22"/>
      <c r="T32">
        <v>2</v>
      </c>
      <c r="U32" t="s">
        <v>61</v>
      </c>
      <c r="V32" t="s">
        <v>59</v>
      </c>
      <c r="W32" t="s">
        <v>60</v>
      </c>
    </row>
    <row r="33" ht="14.25">
      <c r="D33" s="19" t="s">
        <v>35</v>
      </c>
      <c r="E33" t="s">
        <v>36</v>
      </c>
      <c r="F33" s="23"/>
      <c r="G33" s="21" t="s">
        <v>37</v>
      </c>
      <c r="H33" s="22">
        <v>10</v>
      </c>
      <c r="I33" s="22"/>
      <c r="J33" s="22"/>
      <c r="K33" s="22"/>
      <c r="L33" s="22"/>
      <c r="M33" s="22"/>
      <c r="N33" s="22"/>
      <c r="O33" s="22"/>
      <c r="P33" s="24">
        <v>29.690000000000001</v>
      </c>
      <c r="Q33">
        <f>P17/P33</f>
        <v>1.8255304816436511</v>
      </c>
      <c r="T33">
        <v>3</v>
      </c>
      <c r="U33" t="s">
        <v>62</v>
      </c>
      <c r="V33" t="s">
        <v>59</v>
      </c>
      <c r="W33" t="s">
        <v>60</v>
      </c>
    </row>
    <row r="34" ht="14.25">
      <c r="D34" s="19" t="s">
        <v>40</v>
      </c>
      <c r="E34" t="s">
        <v>41</v>
      </c>
      <c r="F34" s="23"/>
      <c r="G34" s="21" t="s">
        <v>42</v>
      </c>
      <c r="H34" s="26">
        <f>H32*H33</f>
        <v>0</v>
      </c>
      <c r="I34" s="27">
        <f>I32*I33</f>
        <v>0</v>
      </c>
      <c r="J34" s="27">
        <f>J32*J33</f>
        <v>0</v>
      </c>
      <c r="K34" s="27">
        <f>K32*K33</f>
        <v>0</v>
      </c>
      <c r="L34" s="27">
        <f>L32*L33</f>
        <v>0</v>
      </c>
      <c r="M34" s="27">
        <f>M32*M33</f>
        <v>0</v>
      </c>
      <c r="N34" s="27">
        <f>N32*N33</f>
        <v>0</v>
      </c>
      <c r="O34" s="27">
        <f>O32*O33</f>
        <v>0</v>
      </c>
      <c r="P34" s="27">
        <f>P32*P33</f>
        <v>0</v>
      </c>
    </row>
    <row r="35" ht="14.25">
      <c r="D35" s="19" t="s">
        <v>43</v>
      </c>
      <c r="E35" t="s">
        <v>44</v>
      </c>
      <c r="F35" s="23"/>
      <c r="G35" s="21" t="s">
        <v>45</v>
      </c>
      <c r="H35" s="22"/>
      <c r="I35" s="22"/>
      <c r="J35" s="22"/>
      <c r="K35" s="22"/>
      <c r="L35" s="22"/>
      <c r="M35" s="22"/>
      <c r="N35" s="22"/>
      <c r="O35" s="22"/>
      <c r="P35" s="22"/>
    </row>
    <row r="36" ht="14.25">
      <c r="D36" s="19" t="s">
        <v>49</v>
      </c>
      <c r="E36" t="s">
        <v>50</v>
      </c>
      <c r="F36" s="23"/>
      <c r="G36" s="21" t="s">
        <v>51</v>
      </c>
      <c r="H36" s="22"/>
      <c r="I36" s="22"/>
      <c r="J36" s="22">
        <v>24</v>
      </c>
      <c r="K36" s="22"/>
      <c r="L36" s="22"/>
      <c r="M36" s="22">
        <v>48</v>
      </c>
      <c r="N36" s="22"/>
      <c r="O36" s="22"/>
      <c r="P36" s="22">
        <v>96</v>
      </c>
    </row>
    <row r="37" ht="14.25">
      <c r="D37" s="19" t="s">
        <v>52</v>
      </c>
      <c r="E37" t="s">
        <v>53</v>
      </c>
      <c r="F37" s="23"/>
      <c r="G37" s="21" t="s">
        <v>54</v>
      </c>
      <c r="H37" s="22"/>
      <c r="I37" s="22"/>
      <c r="J37" s="22">
        <v>1.0329999999999999</v>
      </c>
      <c r="K37" s="22"/>
      <c r="L37" s="22"/>
      <c r="M37" s="22">
        <v>2.0670000000000002</v>
      </c>
      <c r="N37" s="22"/>
      <c r="O37" s="22"/>
      <c r="P37" s="22">
        <v>4.133</v>
      </c>
    </row>
    <row r="39" ht="14.25">
      <c r="D39" s="19" t="s">
        <v>27</v>
      </c>
      <c r="E39" s="19"/>
      <c r="F39" s="19"/>
      <c r="G39" s="19" t="s">
        <v>28</v>
      </c>
      <c r="H39" s="17" t="s">
        <v>17</v>
      </c>
      <c r="I39" s="17" t="s">
        <v>18</v>
      </c>
      <c r="J39" s="17" t="s">
        <v>19</v>
      </c>
      <c r="K39" s="17" t="s">
        <v>20</v>
      </c>
      <c r="L39" s="17" t="s">
        <v>21</v>
      </c>
      <c r="M39" s="17" t="s">
        <v>22</v>
      </c>
      <c r="N39" s="17" t="s">
        <v>23</v>
      </c>
      <c r="O39" s="17" t="s">
        <v>24</v>
      </c>
      <c r="P39" s="17" t="s">
        <v>25</v>
      </c>
      <c r="R39" s="17" t="s">
        <v>63</v>
      </c>
    </row>
    <row r="40" ht="14.25">
      <c r="D40" s="19" t="s">
        <v>32</v>
      </c>
      <c r="E40" t="s">
        <v>33</v>
      </c>
      <c r="F40" s="23"/>
      <c r="G40" s="21" t="s">
        <v>34</v>
      </c>
      <c r="H40" s="22">
        <v>39.9816</v>
      </c>
      <c r="I40" s="22">
        <v>49.939999999999998</v>
      </c>
      <c r="J40" s="22">
        <v>60.170000000000002</v>
      </c>
      <c r="K40" s="22">
        <v>39.9816</v>
      </c>
      <c r="L40" s="22">
        <v>49.973599999999998</v>
      </c>
      <c r="M40" s="22">
        <v>59.990000000000002</v>
      </c>
      <c r="N40" s="22">
        <v>39.841000000000001</v>
      </c>
      <c r="O40" s="22">
        <v>49.984000000000002</v>
      </c>
      <c r="P40" s="22">
        <v>59.869999999999997</v>
      </c>
      <c r="R40" s="22">
        <v>59.920000000000002</v>
      </c>
      <c r="W40" s="34" t="s">
        <v>64</v>
      </c>
      <c r="X40" s="35" t="s">
        <v>65</v>
      </c>
      <c r="Y40" s="36"/>
    </row>
    <row r="41" ht="14.25">
      <c r="D41" s="19" t="s">
        <v>35</v>
      </c>
      <c r="E41" t="s">
        <v>36</v>
      </c>
      <c r="F41" s="23"/>
      <c r="G41" s="21" t="s">
        <v>37</v>
      </c>
      <c r="H41" s="22">
        <v>5.2329999999999997</v>
      </c>
      <c r="I41" s="22">
        <v>4.21</v>
      </c>
      <c r="J41" s="22">
        <v>3.7999999999999998</v>
      </c>
      <c r="K41" s="22">
        <v>27.469999999999999</v>
      </c>
      <c r="L41" s="22">
        <v>28.300000000000001</v>
      </c>
      <c r="M41" s="22">
        <v>20.73</v>
      </c>
      <c r="N41" s="22">
        <v>68.299999999999997</v>
      </c>
      <c r="O41" s="22">
        <v>59.799999999999997</v>
      </c>
      <c r="P41" s="24">
        <v>50.68</v>
      </c>
      <c r="R41" s="37">
        <v>288.19999999999999</v>
      </c>
      <c r="W41" s="8" t="s">
        <v>13</v>
      </c>
      <c r="X41" s="9"/>
      <c r="Y41" s="10"/>
    </row>
    <row r="42" ht="14.25">
      <c r="D42" s="19" t="s">
        <v>40</v>
      </c>
      <c r="E42" t="s">
        <v>41</v>
      </c>
      <c r="F42" s="23"/>
      <c r="G42" s="21" t="s">
        <v>42</v>
      </c>
      <c r="H42" s="26">
        <f>H40*H41</f>
        <v>209.22371279999999</v>
      </c>
      <c r="I42" s="27">
        <f>I40*I41</f>
        <v>210.2474</v>
      </c>
      <c r="J42" s="27">
        <f>J40*J41</f>
        <v>228.64599999999999</v>
      </c>
      <c r="K42" s="27">
        <f>K40*K41</f>
        <v>1098.2945520000001</v>
      </c>
      <c r="L42" s="27">
        <f>L40*L41</f>
        <v>1414.25288</v>
      </c>
      <c r="M42" s="27">
        <f>M40*M41</f>
        <v>1243.5927000000001</v>
      </c>
      <c r="N42" s="27">
        <f>N40*N41</f>
        <v>2721.1403</v>
      </c>
      <c r="O42" s="27">
        <f>O40*O41</f>
        <v>2989.0432000000001</v>
      </c>
      <c r="P42" s="27">
        <f>P40*P41</f>
        <v>3034.2115999999996</v>
      </c>
      <c r="R42" s="27">
        <f>R40*R41</f>
        <v>17268.944</v>
      </c>
      <c r="V42" s="11" t="s">
        <v>14</v>
      </c>
      <c r="W42" s="13">
        <v>40</v>
      </c>
      <c r="X42" s="13">
        <v>50</v>
      </c>
      <c r="Y42" s="13">
        <v>60</v>
      </c>
    </row>
    <row r="43" ht="14.25">
      <c r="D43" s="19" t="s">
        <v>43</v>
      </c>
      <c r="E43" t="s">
        <v>44</v>
      </c>
      <c r="F43" s="23"/>
      <c r="G43" s="21" t="s">
        <v>45</v>
      </c>
      <c r="H43" s="22"/>
      <c r="I43" s="22"/>
      <c r="J43" s="22" t="s">
        <v>46</v>
      </c>
      <c r="K43" s="22"/>
      <c r="L43" s="22"/>
      <c r="M43" s="22" t="s">
        <v>47</v>
      </c>
      <c r="N43" s="22"/>
      <c r="O43" s="22"/>
      <c r="P43" s="22" t="s">
        <v>48</v>
      </c>
      <c r="R43" s="22"/>
      <c r="V43" s="13">
        <v>0.5</v>
      </c>
      <c r="W43" s="15" t="s">
        <v>17</v>
      </c>
      <c r="X43" s="15" t="s">
        <v>18</v>
      </c>
      <c r="Y43" s="15" t="s">
        <v>19</v>
      </c>
    </row>
    <row r="44" ht="14.25">
      <c r="D44" s="19" t="s">
        <v>49</v>
      </c>
      <c r="E44" t="s">
        <v>50</v>
      </c>
      <c r="F44" s="23"/>
      <c r="G44" s="21" t="s">
        <v>51</v>
      </c>
      <c r="H44" s="22">
        <v>18</v>
      </c>
      <c r="I44" s="38">
        <v>14</v>
      </c>
      <c r="J44" s="22">
        <v>12</v>
      </c>
      <c r="K44" s="22">
        <v>45</v>
      </c>
      <c r="L44" s="22">
        <v>36</v>
      </c>
      <c r="M44" s="22">
        <v>30</v>
      </c>
      <c r="N44" s="22">
        <v>72</v>
      </c>
      <c r="O44" s="22">
        <v>58</v>
      </c>
      <c r="P44" s="22">
        <v>48</v>
      </c>
      <c r="R44" s="22">
        <v>168</v>
      </c>
      <c r="V44" s="13">
        <v>1.25</v>
      </c>
      <c r="W44" s="39" t="s">
        <v>20</v>
      </c>
      <c r="X44" s="39" t="s">
        <v>21</v>
      </c>
      <c r="Y44" s="39" t="s">
        <v>22</v>
      </c>
    </row>
    <row r="45" ht="14.25">
      <c r="D45" s="19" t="s">
        <v>52</v>
      </c>
      <c r="E45" t="s">
        <v>53</v>
      </c>
      <c r="F45" s="23"/>
      <c r="G45" s="21" t="s">
        <v>54</v>
      </c>
      <c r="H45" s="22">
        <v>1.0669999999999999</v>
      </c>
      <c r="I45" s="22">
        <v>1.0329999999999999</v>
      </c>
      <c r="J45" s="22">
        <v>1.0669999999999999</v>
      </c>
      <c r="K45" s="22">
        <v>2.6600000000000001</v>
      </c>
      <c r="L45" s="22">
        <v>2.7000000000000002</v>
      </c>
      <c r="M45" s="22">
        <v>2.6600000000000001</v>
      </c>
      <c r="N45" s="22">
        <v>4.2670000000000003</v>
      </c>
      <c r="O45" s="22">
        <v>4.2999999999999998</v>
      </c>
      <c r="P45" s="22">
        <v>4.2999999999999998</v>
      </c>
      <c r="R45" s="22">
        <v>16</v>
      </c>
      <c r="V45" s="13">
        <v>2</v>
      </c>
      <c r="W45" s="15" t="s">
        <v>23</v>
      </c>
      <c r="X45" s="15" t="s">
        <v>24</v>
      </c>
      <c r="Y45" s="15" t="s">
        <v>25</v>
      </c>
    </row>
    <row r="46" ht="14.25">
      <c r="R46" s="40"/>
    </row>
    <row r="47" ht="14.25">
      <c r="D47" s="19" t="s">
        <v>55</v>
      </c>
      <c r="E47" s="29" t="s">
        <v>66</v>
      </c>
      <c r="F47" s="19"/>
      <c r="G47" s="19" t="s">
        <v>28</v>
      </c>
      <c r="H47" s="17" t="s">
        <v>17</v>
      </c>
      <c r="I47" s="17" t="s">
        <v>18</v>
      </c>
      <c r="J47" s="17" t="s">
        <v>19</v>
      </c>
      <c r="K47" s="17" t="s">
        <v>20</v>
      </c>
      <c r="L47" s="17" t="s">
        <v>21</v>
      </c>
      <c r="M47" s="17" t="s">
        <v>22</v>
      </c>
      <c r="N47" s="17" t="s">
        <v>23</v>
      </c>
      <c r="O47" s="17" t="s">
        <v>24</v>
      </c>
      <c r="P47" s="17" t="s">
        <v>25</v>
      </c>
      <c r="R47" s="17" t="s">
        <v>63</v>
      </c>
    </row>
    <row r="48" ht="14.25">
      <c r="D48" s="19" t="s">
        <v>32</v>
      </c>
      <c r="E48" s="23" t="s">
        <v>33</v>
      </c>
      <c r="F48" s="23"/>
      <c r="G48" s="21" t="s">
        <v>34</v>
      </c>
      <c r="H48" s="22">
        <v>40</v>
      </c>
      <c r="I48" s="22">
        <v>50</v>
      </c>
      <c r="J48" s="22">
        <v>60</v>
      </c>
      <c r="K48" s="22">
        <v>40</v>
      </c>
      <c r="L48" s="22">
        <v>50</v>
      </c>
      <c r="M48" s="22">
        <v>60</v>
      </c>
      <c r="N48" s="22">
        <v>40</v>
      </c>
      <c r="O48" s="22">
        <v>50</v>
      </c>
      <c r="P48" s="22">
        <v>60</v>
      </c>
      <c r="R48" s="22">
        <v>60</v>
      </c>
    </row>
    <row r="49" ht="14.25">
      <c r="D49" s="19" t="s">
        <v>35</v>
      </c>
      <c r="E49" s="23" t="s">
        <v>36</v>
      </c>
      <c r="F49" s="23"/>
      <c r="G49" s="21" t="s">
        <v>37</v>
      </c>
      <c r="H49" s="41">
        <v>1.8638380653</v>
      </c>
      <c r="I49" s="42">
        <v>1.41477131925</v>
      </c>
      <c r="J49" s="37">
        <v>1.2484080233699999</v>
      </c>
      <c r="K49" s="41">
        <v>10.4854305721</v>
      </c>
      <c r="L49" s="42">
        <v>8.5511094385900002</v>
      </c>
      <c r="M49" s="37">
        <v>7.1998290035099997</v>
      </c>
      <c r="N49" s="41">
        <v>24.0766812333</v>
      </c>
      <c r="O49" s="42">
        <v>20.470865177499999</v>
      </c>
      <c r="P49" s="37">
        <v>17.336072203800001</v>
      </c>
      <c r="R49" s="31">
        <v>113.81964916</v>
      </c>
    </row>
    <row r="50" ht="14.25">
      <c r="D50" s="19" t="s">
        <v>40</v>
      </c>
      <c r="E50" s="23" t="s">
        <v>41</v>
      </c>
      <c r="F50" s="23"/>
      <c r="G50" s="21" t="s">
        <v>42</v>
      </c>
      <c r="H50" s="26">
        <f>H48*H49</f>
        <v>74.553522611999995</v>
      </c>
      <c r="I50" s="27">
        <f>I48*I49</f>
        <v>70.738565962500005</v>
      </c>
      <c r="J50" s="27">
        <f>J48*J49</f>
        <v>74.904481402199991</v>
      </c>
      <c r="K50" s="27">
        <f>K48*K49</f>
        <v>419.41722288400001</v>
      </c>
      <c r="L50" s="27">
        <f>L48*L49</f>
        <v>427.55547192950002</v>
      </c>
      <c r="M50" s="27">
        <f>M48*M49</f>
        <v>431.98974021059996</v>
      </c>
      <c r="N50" s="27">
        <f>N48*N49</f>
        <v>963.06724933200007</v>
      </c>
      <c r="O50" s="27">
        <f>O48*O49</f>
        <v>1023.5432588749999</v>
      </c>
      <c r="P50" s="27">
        <f>P48*P49</f>
        <v>1040.1643322280001</v>
      </c>
      <c r="R50" s="27">
        <f>R48*R49</f>
        <v>6829.1789496000001</v>
      </c>
    </row>
    <row r="51" ht="14.25">
      <c r="D51" s="19" t="s">
        <v>43</v>
      </c>
      <c r="E51" s="23" t="s">
        <v>44</v>
      </c>
      <c r="F51" s="23"/>
      <c r="G51" s="21" t="s">
        <v>45</v>
      </c>
      <c r="H51" s="22"/>
      <c r="I51" s="22"/>
      <c r="J51" s="22"/>
      <c r="K51" s="22"/>
      <c r="L51" s="22"/>
      <c r="M51" s="22"/>
      <c r="N51" s="22"/>
      <c r="O51" s="22"/>
      <c r="P51" s="22"/>
      <c r="R51" s="22"/>
    </row>
    <row r="52" ht="14.25">
      <c r="D52" s="19" t="s">
        <v>49</v>
      </c>
      <c r="E52" s="23" t="s">
        <v>50</v>
      </c>
      <c r="F52" s="23"/>
      <c r="G52" s="21" t="s">
        <v>51</v>
      </c>
      <c r="H52" s="22">
        <v>18</v>
      </c>
      <c r="I52" s="38">
        <v>14</v>
      </c>
      <c r="J52" s="22">
        <v>12</v>
      </c>
      <c r="K52" s="22">
        <v>45</v>
      </c>
      <c r="L52" s="22">
        <v>36</v>
      </c>
      <c r="M52" s="22">
        <v>30</v>
      </c>
      <c r="N52" s="22">
        <v>72</v>
      </c>
      <c r="O52" s="22">
        <v>58</v>
      </c>
      <c r="P52" s="22">
        <v>48</v>
      </c>
      <c r="R52" s="22">
        <v>168</v>
      </c>
    </row>
    <row r="53" ht="14.25">
      <c r="D53" s="19" t="s">
        <v>52</v>
      </c>
      <c r="E53" s="23" t="s">
        <v>53</v>
      </c>
      <c r="F53" s="23"/>
      <c r="G53" s="21" t="s">
        <v>54</v>
      </c>
      <c r="H53" s="22"/>
      <c r="I53" s="22"/>
      <c r="J53" s="22">
        <v>1</v>
      </c>
      <c r="K53" s="22"/>
      <c r="L53" s="22"/>
      <c r="M53" s="22">
        <v>2</v>
      </c>
      <c r="N53" s="22"/>
      <c r="O53" s="22"/>
      <c r="P53" s="22">
        <v>4.0049999999999999</v>
      </c>
      <c r="R53" s="22">
        <v>16</v>
      </c>
    </row>
    <row r="54" ht="14.25">
      <c r="H54" s="41">
        <f>H41/H49</f>
        <v>2.8076473473878245</v>
      </c>
      <c r="I54" s="40">
        <f>I41/I49</f>
        <v>2.9757459334359488</v>
      </c>
      <c r="J54" s="40">
        <f>J41/J49</f>
        <v>3.0438766243604682</v>
      </c>
      <c r="K54" s="40">
        <f>K41/K49</f>
        <v>2.6198256534255382</v>
      </c>
      <c r="L54" s="40">
        <f>L41/L49</f>
        <v>3.3095120818224975</v>
      </c>
      <c r="M54" s="40">
        <f>M41/M49</f>
        <v>2.8792350470954085</v>
      </c>
      <c r="N54" s="40">
        <f>N41/N49</f>
        <v>2.8367697083406811</v>
      </c>
      <c r="O54" s="40">
        <f>O41/O49</f>
        <v>2.9212248471905116</v>
      </c>
      <c r="P54" s="40">
        <f>P41/P49</f>
        <v>2.9233842247663886</v>
      </c>
      <c r="R54" s="40">
        <f>R41/R49</f>
        <v>2.5320759827230521</v>
      </c>
    </row>
    <row r="57" ht="14.25">
      <c r="J57" s="20"/>
      <c r="K57" t="s">
        <v>59</v>
      </c>
      <c r="L57" t="s">
        <v>60</v>
      </c>
      <c r="M57" t="s">
        <v>60</v>
      </c>
    </row>
    <row r="58" ht="14.25">
      <c r="J58">
        <v>2</v>
      </c>
      <c r="K58" t="s">
        <v>67</v>
      </c>
      <c r="L58" t="s">
        <v>59</v>
      </c>
      <c r="M58" t="s">
        <v>60</v>
      </c>
      <c r="T58"/>
    </row>
    <row r="59" ht="14.25">
      <c r="J59">
        <v>3</v>
      </c>
      <c r="K59" t="s">
        <v>68</v>
      </c>
      <c r="L59" t="s">
        <v>59</v>
      </c>
      <c r="M59" t="s">
        <v>60</v>
      </c>
    </row>
  </sheetData>
  <mergeCells count="6">
    <mergeCell ref="B9:C9"/>
    <mergeCell ref="D9:F9"/>
    <mergeCell ref="H9:J9"/>
    <mergeCell ref="L9:N9"/>
    <mergeCell ref="A11:A13"/>
    <mergeCell ref="W41:Y41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2026-02-03T19:13:39Z</dcterms:modified>
</cp:coreProperties>
</file>